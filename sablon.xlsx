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yusufyay\Desktop\"/>
    </mc:Choice>
  </mc:AlternateContent>
  <xr:revisionPtr revIDLastSave="0" documentId="13_ncr:1_{23308BB9-26F6-4BCE-81E3-03F7A504539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6" i="1" l="1"/>
  <c r="G37" i="1"/>
  <c r="G38" i="1"/>
  <c r="G39" i="1"/>
  <c r="G35" i="1"/>
  <c r="G32" i="1"/>
  <c r="G31" i="1"/>
  <c r="F4" i="1"/>
  <c r="H17" i="1" l="1"/>
  <c r="H33" i="1"/>
  <c r="H40" i="1"/>
  <c r="H29" i="1"/>
  <c r="H53" i="1" l="1"/>
  <c r="H55" i="1" s="1"/>
  <c r="H56" i="1" l="1"/>
</calcChain>
</file>

<file path=xl/sharedStrings.xml><?xml version="1.0" encoding="utf-8"?>
<sst xmlns="http://schemas.openxmlformats.org/spreadsheetml/2006/main" count="84" uniqueCount="77">
  <si>
    <t>TOPLAM</t>
  </si>
  <si>
    <t>G.TOPLAM</t>
  </si>
  <si>
    <t>Mağaza Kodu</t>
  </si>
  <si>
    <t>Mağaza Adı</t>
  </si>
  <si>
    <t>SRV No:</t>
  </si>
  <si>
    <t>Tarih</t>
  </si>
  <si>
    <t>ET KOD</t>
  </si>
  <si>
    <t>TANIM / AÇIKLAMA</t>
  </si>
  <si>
    <t>Birim</t>
  </si>
  <si>
    <t>Miktar</t>
  </si>
  <si>
    <t>Para Birimi</t>
  </si>
  <si>
    <t>TRY</t>
  </si>
  <si>
    <t>No</t>
  </si>
  <si>
    <t>MOBİLYA İŞLERİ TOPLAM TUTAR</t>
  </si>
  <si>
    <t>Birim Fiyat</t>
  </si>
  <si>
    <t>Tutar</t>
  </si>
  <si>
    <t>Ara Toplam</t>
  </si>
  <si>
    <t>Not</t>
  </si>
  <si>
    <t>İNŞAİ İŞLER TOPLAM TUTAR</t>
  </si>
  <si>
    <t>ELEKTRİK İŞLERİ / ZAYIF AKIM İŞLERİ TOPLAM TUTAR</t>
  </si>
  <si>
    <t>ET000042421</t>
  </si>
  <si>
    <t>ET000042420</t>
  </si>
  <si>
    <t>İŞÇİLİK / NAKLİYE TOPLAM TUTAR</t>
  </si>
  <si>
    <t>A . MOBİLYA İŞLERİ</t>
  </si>
  <si>
    <t>B. İNŞAİ İŞLER</t>
  </si>
  <si>
    <t>C. ELEKTRİK İŞLERİ / ZAYIF AKIM İŞLERİ</t>
  </si>
  <si>
    <t>D. İŞÇİLİK / NAKLİYE</t>
  </si>
  <si>
    <t>Not 1</t>
  </si>
  <si>
    <t>Gün</t>
  </si>
  <si>
    <t>Not 2</t>
  </si>
  <si>
    <t>Tadilat Süresi</t>
  </si>
  <si>
    <t>Not 3</t>
  </si>
  <si>
    <t>Onay Sonrası Üretim ve Sevk Süresi</t>
  </si>
  <si>
    <t>Mekanik İşler dahil değildir, iş bitiminde eklenecektir</t>
  </si>
  <si>
    <t>Not 4</t>
  </si>
  <si>
    <t>Gerekli ilave armatürler olduğu takdirde iş bitiminde eklenecektir</t>
  </si>
  <si>
    <t>E. DİĞER</t>
  </si>
  <si>
    <t>DİĞER İŞLER TOPLAM TUTAR</t>
  </si>
  <si>
    <t>ADET</t>
  </si>
  <si>
    <t>İŞÇİ YEVMİYESİ</t>
  </si>
  <si>
    <t xml:space="preserve">USTA YEVMİYESİ </t>
  </si>
  <si>
    <t>ÇÖP MOLOZ ATIMI</t>
  </si>
  <si>
    <t>NAKLİYE VE ULAŞIM</t>
  </si>
  <si>
    <t>HAZIRLAYAN</t>
  </si>
  <si>
    <t>KDV %8</t>
  </si>
  <si>
    <t>ET000018478</t>
  </si>
  <si>
    <t>TEKLİFİMİZİN GEÇERLİLİK SÜRESİ 15 GÜNDÜR.</t>
  </si>
  <si>
    <t xml:space="preserve">ELEKTRİK İŞLERİ </t>
  </si>
  <si>
    <t>ZAYIF AKIM İŞLERİ</t>
  </si>
  <si>
    <t>ET000049964</t>
  </si>
  <si>
    <t>ET000048773</t>
  </si>
  <si>
    <t>KDV %20</t>
  </si>
  <si>
    <t>YUSUF FIRAT YAY</t>
  </si>
  <si>
    <t>yusufyay@nivakgroup.com</t>
  </si>
  <si>
    <t>0543 811 30 55</t>
  </si>
  <si>
    <t>ET000048758</t>
  </si>
  <si>
    <t>MOBİLYA DEMONTAJ - MONTAJ YAPILMASI</t>
  </si>
  <si>
    <t>ET000049103</t>
  </si>
  <si>
    <t>ET000048810</t>
  </si>
  <si>
    <t>ET000001856</t>
  </si>
  <si>
    <t>SARF MALZEME</t>
  </si>
  <si>
    <t>ÜRÜN DUVARLARININ TAŞINMASI ESNASINDA OLUŞABİLECEK EK DURUMLAR AYRICA İCMALE EKLENECEKTİR. MAĞAZA YÖNETİCİSİ ADEM BEY İLAVE DUVARLAR İSTEMEMEKTEDİR.</t>
  </si>
  <si>
    <t>ET000048982</t>
  </si>
  <si>
    <t>40x30x1,5 KUTU PROFİL İMALAT YAP.[Antipas yapılması dahil]</t>
  </si>
  <si>
    <t>ET000048981</t>
  </si>
  <si>
    <t>20x30x1,5 KUTU PROFİL İMALAT YAP.[ Antipas yapılması dahil ]</t>
  </si>
  <si>
    <t>ET000049035</t>
  </si>
  <si>
    <t>NORMAL ALÇIPAN KAPLAMA YAP. [Konst Üzerine ]</t>
  </si>
  <si>
    <t>MACUNLU PLASTİK BOYA YAP. [İki Kat]</t>
  </si>
  <si>
    <t>ET000049105</t>
  </si>
  <si>
    <t>PLASTİK BOYA YAPILMASI [İki Kat,Vitrin ]</t>
  </si>
  <si>
    <t>ET000049129</t>
  </si>
  <si>
    <t>SERAMİK KAPLAMA YAPILMASI</t>
  </si>
  <si>
    <t>YIKIM SÖKÜM İŞLERİ [Projeye uygun olarak tüm yıkım sökümlerin yapılması]</t>
  </si>
  <si>
    <t>ET000048851</t>
  </si>
  <si>
    <t>İNŞAİ İŞLER GENEL</t>
  </si>
  <si>
    <t>ET000048809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</si>
</sst>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₺&quot;* #,##0.00_-;\-&quot;₺&quot;* #,##0.00_-;_-&quot;₺&quot;* &quot;-&quot;??_-;_-@_-"/>
    <numFmt numFmtId="43" formatCode="_-* #,##0.00_-;\-* #,##0.00_-;_-* &quot;-&quot;??_-;_-@_-"/>
    <numFmt numFmtId="164" formatCode="_-* #,##0.00\ &quot;₺&quot;_-;\-* #,##0.00\ &quot;₺&quot;_-;_-* &quot;-&quot;??\ &quot;₺&quot;_-;_-@_-"/>
    <numFmt numFmtId="165" formatCode="#,##0.00\ &quot;₺&quot;"/>
    <numFmt numFmtId="166" formatCode="_-* #,##0.00\ _₺_-;\-* #,##0.00\ _₺_-;_-* &quot;-&quot;??\ _₺_-;_-@_-"/>
    <numFmt numFmtId="167" formatCode="_-* #,##0.00\ _T_L_-;\-* #,##0.00\ _T_L_-;_-* &quot;-&quot;??\ _T_L_-;_-@_-"/>
  </numFmts>
  <fonts count="39">
    <font>
      <sz val="11"/>
      <color theme="1"/>
      <name val="Calibri"/>
      <family val="2"/>
      <charset val="162"/>
      <scheme val="minor"/>
    </font>
    <font>
      <b/>
      <sz val="10"/>
      <name val="Verdana"/>
      <family val="2"/>
      <charset val="162"/>
    </font>
    <font>
      <sz val="8"/>
      <name val="Verdana"/>
      <family val="2"/>
      <charset val="162"/>
    </font>
    <font>
      <b/>
      <sz val="8"/>
      <name val="Verdana"/>
      <family val="2"/>
      <charset val="162"/>
    </font>
    <font>
      <sz val="10"/>
      <name val="Arial"/>
      <family val="2"/>
      <charset val="162"/>
    </font>
    <font>
      <sz val="10"/>
      <name val="Arial Tur"/>
      <family val="2"/>
      <charset val="162"/>
    </font>
    <font>
      <sz val="10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name val="Verdana"/>
      <family val="2"/>
      <charset val="162"/>
    </font>
    <font>
      <sz val="11"/>
      <color theme="1"/>
      <name val="Calibri"/>
      <family val="2"/>
      <scheme val="minor"/>
    </font>
    <font>
      <sz val="10"/>
      <name val="Arial Tur"/>
      <charset val="162"/>
    </font>
    <font>
      <sz val="1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i/>
      <sz val="11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i/>
      <sz val="8"/>
      <name val="Verdana"/>
      <family val="2"/>
      <charset val="162"/>
    </font>
    <font>
      <b/>
      <sz val="1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b/>
      <sz val="10"/>
      <color rgb="FFFF0000"/>
      <name val="Calibri"/>
      <family val="2"/>
      <charset val="162"/>
      <scheme val="minor"/>
    </font>
    <font>
      <sz val="10"/>
      <name val="Helv"/>
      <charset val="204"/>
    </font>
    <font>
      <sz val="11"/>
      <color theme="1"/>
      <name val="Trebuchet MS"/>
      <family val="2"/>
      <charset val="162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62">
    <xf numFmtId="0" fontId="0" fillId="0" borderId="0"/>
    <xf numFmtId="0" fontId="4" fillId="0" borderId="0"/>
    <xf numFmtId="0" fontId="26" fillId="0" borderId="0"/>
    <xf numFmtId="0" fontId="8" fillId="0" borderId="0"/>
    <xf numFmtId="0" fontId="9" fillId="0" borderId="0" applyNumberFormat="0" applyFill="0" applyBorder="0" applyAlignment="0" applyProtection="0"/>
    <xf numFmtId="0" fontId="10" fillId="0" borderId="6" applyNumberFormat="0" applyFill="0" applyAlignment="0" applyProtection="0"/>
    <xf numFmtId="0" fontId="11" fillId="0" borderId="7" applyNumberFormat="0" applyFill="0" applyAlignment="0" applyProtection="0"/>
    <xf numFmtId="0" fontId="12" fillId="0" borderId="8" applyNumberFormat="0" applyFill="0" applyAlignment="0" applyProtection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0" applyNumberFormat="0" applyBorder="0" applyAlignment="0" applyProtection="0"/>
    <xf numFmtId="0" fontId="16" fillId="7" borderId="9" applyNumberFormat="0" applyAlignment="0" applyProtection="0"/>
    <xf numFmtId="0" fontId="17" fillId="8" borderId="10" applyNumberFormat="0" applyAlignment="0" applyProtection="0"/>
    <xf numFmtId="0" fontId="18" fillId="8" borderId="9" applyNumberFormat="0" applyAlignment="0" applyProtection="0"/>
    <xf numFmtId="0" fontId="19" fillId="0" borderId="11" applyNumberFormat="0" applyFill="0" applyAlignment="0" applyProtection="0"/>
    <xf numFmtId="0" fontId="20" fillId="9" borderId="12" applyNumberFormat="0" applyAlignment="0" applyProtection="0"/>
    <xf numFmtId="0" fontId="21" fillId="0" borderId="0" applyNumberFormat="0" applyFill="0" applyBorder="0" applyAlignment="0" applyProtection="0"/>
    <xf numFmtId="0" fontId="8" fillId="10" borderId="13" applyNumberFormat="0" applyFont="0" applyAlignment="0" applyProtection="0"/>
    <xf numFmtId="0" fontId="22" fillId="0" borderId="0" applyNumberFormat="0" applyFill="0" applyBorder="0" applyAlignment="0" applyProtection="0"/>
    <xf numFmtId="0" fontId="23" fillId="0" borderId="14" applyNumberFormat="0" applyFill="0" applyAlignment="0" applyProtection="0"/>
    <xf numFmtId="0" fontId="24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24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24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24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24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24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164" fontId="26" fillId="0" borderId="0" applyFont="0" applyFill="0" applyBorder="0" applyAlignment="0" applyProtection="0"/>
    <xf numFmtId="0" fontId="8" fillId="0" borderId="0"/>
    <xf numFmtId="0" fontId="8" fillId="0" borderId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7" fillId="0" borderId="0"/>
    <xf numFmtId="0" fontId="9" fillId="0" borderId="0" applyNumberFormat="0" applyFill="0" applyBorder="0" applyAlignment="0" applyProtection="0"/>
    <xf numFmtId="0" fontId="10" fillId="0" borderId="6" applyNumberFormat="0" applyFill="0" applyAlignment="0" applyProtection="0"/>
    <xf numFmtId="0" fontId="11" fillId="0" borderId="7" applyNumberFormat="0" applyFill="0" applyAlignment="0" applyProtection="0"/>
    <xf numFmtId="0" fontId="12" fillId="0" borderId="8" applyNumberFormat="0" applyFill="0" applyAlignment="0" applyProtection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0" applyNumberFormat="0" applyBorder="0" applyAlignment="0" applyProtection="0"/>
    <xf numFmtId="0" fontId="16" fillId="7" borderId="9" applyNumberFormat="0" applyAlignment="0" applyProtection="0"/>
    <xf numFmtId="0" fontId="17" fillId="8" borderId="10" applyNumberFormat="0" applyAlignment="0" applyProtection="0"/>
    <xf numFmtId="0" fontId="18" fillId="8" borderId="9" applyNumberFormat="0" applyAlignment="0" applyProtection="0"/>
    <xf numFmtId="0" fontId="19" fillId="0" borderId="11" applyNumberFormat="0" applyFill="0" applyAlignment="0" applyProtection="0"/>
    <xf numFmtId="0" fontId="20" fillId="9" borderId="12" applyNumberFormat="0" applyAlignment="0" applyProtection="0"/>
    <xf numFmtId="0" fontId="21" fillId="0" borderId="0" applyNumberFormat="0" applyFill="0" applyBorder="0" applyAlignment="0" applyProtection="0"/>
    <xf numFmtId="0" fontId="8" fillId="10" borderId="13" applyNumberFormat="0" applyFont="0" applyAlignment="0" applyProtection="0"/>
    <xf numFmtId="0" fontId="22" fillId="0" borderId="0" applyNumberFormat="0" applyFill="0" applyBorder="0" applyAlignment="0" applyProtection="0"/>
    <xf numFmtId="0" fontId="23" fillId="0" borderId="14" applyNumberFormat="0" applyFill="0" applyAlignment="0" applyProtection="0"/>
    <xf numFmtId="0" fontId="24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24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24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24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24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24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166" fontId="8" fillId="0" borderId="0" applyFont="0" applyFill="0" applyBorder="0" applyAlignment="0" applyProtection="0"/>
    <xf numFmtId="0" fontId="26" fillId="0" borderId="0"/>
    <xf numFmtId="43" fontId="26" fillId="0" borderId="0" applyFont="0" applyFill="0" applyBorder="0" applyAlignment="0" applyProtection="0"/>
    <xf numFmtId="0" fontId="8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26" fillId="0" borderId="0"/>
    <xf numFmtId="0" fontId="8" fillId="0" borderId="0"/>
    <xf numFmtId="0" fontId="26" fillId="0" borderId="0"/>
    <xf numFmtId="0" fontId="4" fillId="0" borderId="0"/>
    <xf numFmtId="0" fontId="4" fillId="0" borderId="0"/>
    <xf numFmtId="44" fontId="8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44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8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8" fillId="0" borderId="0"/>
  </cellStyleXfs>
  <cellXfs count="101">
    <xf numFmtId="0" fontId="0" fillId="0" borderId="0" xfId="0"/>
    <xf numFmtId="0" fontId="6" fillId="0" borderId="1" xfId="0" applyFont="1" applyBorder="1"/>
    <xf numFmtId="0" fontId="2" fillId="2" borderId="1" xfId="0" applyFont="1" applyFill="1" applyBorder="1" applyAlignment="1">
      <alignment horizontal="center" vertical="center" shrinkToFit="1"/>
    </xf>
    <xf numFmtId="165" fontId="2" fillId="2" borderId="1" xfId="0" applyNumberFormat="1" applyFont="1" applyFill="1" applyBorder="1" applyAlignment="1">
      <alignment horizontal="right" vertical="center" shrinkToFit="1"/>
    </xf>
    <xf numFmtId="165" fontId="3" fillId="2" borderId="1" xfId="0" applyNumberFormat="1" applyFont="1" applyFill="1" applyBorder="1" applyAlignment="1">
      <alignment horizontal="right" vertical="center" shrinkToFi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2" fillId="3" borderId="1" xfId="0" applyFont="1" applyFill="1" applyBorder="1" applyAlignment="1">
      <alignment horizontal="center" vertical="center" shrinkToFit="1"/>
    </xf>
    <xf numFmtId="14" fontId="2" fillId="2" borderId="1" xfId="0" applyNumberFormat="1" applyFont="1" applyFill="1" applyBorder="1"/>
    <xf numFmtId="22" fontId="2" fillId="2" borderId="1" xfId="0" applyNumberFormat="1" applyFont="1" applyFill="1" applyBorder="1"/>
    <xf numFmtId="0" fontId="0" fillId="0" borderId="0" xfId="0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0" borderId="0" xfId="0" applyNumberFormat="1"/>
    <xf numFmtId="44" fontId="2" fillId="2" borderId="1" xfId="0" applyNumberFormat="1" applyFont="1" applyFill="1" applyBorder="1" applyAlignment="1">
      <alignment horizontal="center" vertical="center"/>
    </xf>
    <xf numFmtId="44" fontId="3" fillId="2" borderId="1" xfId="0" applyNumberFormat="1" applyFont="1" applyFill="1" applyBorder="1" applyAlignment="1">
      <alignment horizontal="center" vertical="center" wrapText="1"/>
    </xf>
    <xf numFmtId="44" fontId="0" fillId="0" borderId="1" xfId="0" applyNumberFormat="1" applyBorder="1"/>
    <xf numFmtId="0" fontId="23" fillId="0" borderId="0" xfId="0" applyFont="1" applyAlignment="1">
      <alignment horizontal="center" vertical="center"/>
    </xf>
    <xf numFmtId="0" fontId="0" fillId="36" borderId="1" xfId="0" applyFill="1" applyBorder="1"/>
    <xf numFmtId="165" fontId="2" fillId="0" borderId="1" xfId="0" applyNumberFormat="1" applyFont="1" applyBorder="1" applyAlignment="1">
      <alignment horizontal="right" vertical="center" shrinkToFit="1"/>
    </xf>
    <xf numFmtId="1" fontId="6" fillId="0" borderId="1" xfId="0" applyNumberFormat="1" applyFont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31" fillId="36" borderId="1" xfId="0" applyFont="1" applyFill="1" applyBorder="1"/>
    <xf numFmtId="0" fontId="32" fillId="36" borderId="1" xfId="0" applyFont="1" applyFill="1" applyBorder="1"/>
    <xf numFmtId="44" fontId="31" fillId="36" borderId="1" xfId="0" applyNumberFormat="1" applyFont="1" applyFill="1" applyBorder="1"/>
    <xf numFmtId="44" fontId="32" fillId="36" borderId="1" xfId="0" applyNumberFormat="1" applyFont="1" applyFill="1" applyBorder="1"/>
    <xf numFmtId="0" fontId="0" fillId="3" borderId="1" xfId="0" applyFill="1" applyBorder="1" applyAlignment="1">
      <alignment horizontal="center" vertical="center"/>
    </xf>
    <xf numFmtId="1" fontId="6" fillId="3" borderId="1" xfId="0" applyNumberFormat="1" applyFont="1" applyFill="1" applyBorder="1" applyAlignment="1">
      <alignment horizontal="center" vertical="center"/>
    </xf>
    <xf numFmtId="44" fontId="0" fillId="3" borderId="1" xfId="0" applyNumberFormat="1" applyFill="1" applyBorder="1"/>
    <xf numFmtId="0" fontId="32" fillId="3" borderId="1" xfId="0" applyFont="1" applyFill="1" applyBorder="1"/>
    <xf numFmtId="44" fontId="32" fillId="3" borderId="1" xfId="0" applyNumberFormat="1" applyFont="1" applyFill="1" applyBorder="1"/>
    <xf numFmtId="0" fontId="0" fillId="37" borderId="1" xfId="0" applyFill="1" applyBorder="1" applyAlignment="1">
      <alignment horizontal="center" vertical="center"/>
    </xf>
    <xf numFmtId="0" fontId="0" fillId="37" borderId="1" xfId="0" applyFill="1" applyBorder="1"/>
    <xf numFmtId="2" fontId="33" fillId="37" borderId="1" xfId="0" applyNumberFormat="1" applyFont="1" applyFill="1" applyBorder="1" applyAlignment="1">
      <alignment horizontal="center" vertical="center" shrinkToFit="1"/>
    </xf>
    <xf numFmtId="0" fontId="33" fillId="37" borderId="1" xfId="0" applyFont="1" applyFill="1" applyBorder="1" applyAlignment="1">
      <alignment horizontal="center" vertical="center" shrinkToFit="1"/>
    </xf>
    <xf numFmtId="44" fontId="33" fillId="37" borderId="1" xfId="0" applyNumberFormat="1" applyFont="1" applyFill="1" applyBorder="1" applyAlignment="1">
      <alignment horizontal="right" vertical="center" shrinkToFit="1"/>
    </xf>
    <xf numFmtId="165" fontId="33" fillId="37" borderId="1" xfId="0" applyNumberFormat="1" applyFont="1" applyFill="1" applyBorder="1" applyAlignment="1">
      <alignment horizontal="right" vertical="center" shrinkToFit="1"/>
    </xf>
    <xf numFmtId="44" fontId="32" fillId="37" borderId="1" xfId="0" applyNumberFormat="1" applyFont="1" applyFill="1" applyBorder="1"/>
    <xf numFmtId="0" fontId="0" fillId="38" borderId="1" xfId="0" applyFill="1" applyBorder="1" applyAlignment="1">
      <alignment horizontal="center" vertical="center"/>
    </xf>
    <xf numFmtId="0" fontId="2" fillId="38" borderId="1" xfId="0" applyFont="1" applyFill="1" applyBorder="1" applyAlignment="1">
      <alignment horizontal="center" vertical="center" shrinkToFit="1"/>
    </xf>
    <xf numFmtId="44" fontId="2" fillId="38" borderId="1" xfId="0" applyNumberFormat="1" applyFont="1" applyFill="1" applyBorder="1" applyAlignment="1">
      <alignment horizontal="right" vertical="center" shrinkToFit="1"/>
    </xf>
    <xf numFmtId="165" fontId="2" fillId="38" borderId="1" xfId="0" applyNumberFormat="1" applyFont="1" applyFill="1" applyBorder="1" applyAlignment="1">
      <alignment horizontal="right" vertical="center" shrinkToFit="1"/>
    </xf>
    <xf numFmtId="0" fontId="0" fillId="38" borderId="1" xfId="0" applyFill="1" applyBorder="1"/>
    <xf numFmtId="0" fontId="32" fillId="38" borderId="1" xfId="0" applyFont="1" applyFill="1" applyBorder="1"/>
    <xf numFmtId="44" fontId="32" fillId="38" borderId="1" xfId="0" applyNumberFormat="1" applyFont="1" applyFill="1" applyBorder="1"/>
    <xf numFmtId="0" fontId="0" fillId="39" borderId="1" xfId="0" applyFill="1" applyBorder="1" applyAlignment="1">
      <alignment horizontal="center" vertical="center"/>
    </xf>
    <xf numFmtId="0" fontId="32" fillId="39" borderId="1" xfId="0" applyFont="1" applyFill="1" applyBorder="1"/>
    <xf numFmtId="0" fontId="2" fillId="39" borderId="1" xfId="0" applyFont="1" applyFill="1" applyBorder="1" applyAlignment="1">
      <alignment horizontal="center" vertical="center" shrinkToFit="1"/>
    </xf>
    <xf numFmtId="44" fontId="2" fillId="39" borderId="1" xfId="0" applyNumberFormat="1" applyFont="1" applyFill="1" applyBorder="1" applyAlignment="1">
      <alignment horizontal="right" vertical="center" shrinkToFit="1"/>
    </xf>
    <xf numFmtId="165" fontId="2" fillId="39" borderId="1" xfId="0" applyNumberFormat="1" applyFont="1" applyFill="1" applyBorder="1" applyAlignment="1">
      <alignment horizontal="right" vertical="center" shrinkToFit="1"/>
    </xf>
    <xf numFmtId="44" fontId="32" fillId="39" borderId="1" xfId="0" applyNumberFormat="1" applyFont="1" applyFill="1" applyBorder="1"/>
    <xf numFmtId="0" fontId="0" fillId="39" borderId="1" xfId="0" applyFill="1" applyBorder="1"/>
    <xf numFmtId="44" fontId="23" fillId="0" borderId="1" xfId="0" applyNumberFormat="1" applyFont="1" applyBorder="1"/>
    <xf numFmtId="14" fontId="2" fillId="2" borderId="1" xfId="0" applyNumberFormat="1" applyFont="1" applyFill="1" applyBorder="1" applyAlignment="1">
      <alignment horizontal="center" vertical="center"/>
    </xf>
    <xf numFmtId="165" fontId="34" fillId="2" borderId="1" xfId="0" applyNumberFormat="1" applyFont="1" applyFill="1" applyBorder="1" applyAlignment="1">
      <alignment horizontal="right" vertical="center" shrinkToFit="1"/>
    </xf>
    <xf numFmtId="0" fontId="7" fillId="3" borderId="1" xfId="0" applyFont="1" applyFill="1" applyBorder="1"/>
    <xf numFmtId="0" fontId="28" fillId="2" borderId="1" xfId="3" applyFont="1" applyFill="1" applyBorder="1"/>
    <xf numFmtId="0" fontId="5" fillId="0" borderId="1" xfId="1" applyFont="1" applyBorder="1" applyAlignment="1">
      <alignment horizontal="center" vertical="center"/>
    </xf>
    <xf numFmtId="0" fontId="35" fillId="2" borderId="1" xfId="56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26" xfId="0" applyBorder="1"/>
    <xf numFmtId="0" fontId="5" fillId="0" borderId="26" xfId="1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shrinkToFit="1"/>
    </xf>
    <xf numFmtId="0" fontId="0" fillId="0" borderId="5" xfId="0" applyBorder="1"/>
    <xf numFmtId="0" fontId="7" fillId="0" borderId="24" xfId="0" applyFont="1" applyBorder="1"/>
    <xf numFmtId="0" fontId="7" fillId="0" borderId="25" xfId="0" applyFont="1" applyBorder="1"/>
    <xf numFmtId="0" fontId="38" fillId="0" borderId="1" xfId="57" applyFont="1" applyBorder="1" applyAlignment="1">
      <alignment vertical="center"/>
    </xf>
    <xf numFmtId="2" fontId="38" fillId="0" borderId="1" xfId="57" applyNumberFormat="1" applyFont="1" applyBorder="1" applyAlignment="1">
      <alignment vertical="center"/>
    </xf>
    <xf numFmtId="44" fontId="38" fillId="0" borderId="1" xfId="57" applyNumberFormat="1" applyFont="1" applyBorder="1" applyAlignment="1">
      <alignment vertical="center"/>
    </xf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/>
    <xf numFmtId="0" fontId="36" fillId="0" borderId="27" xfId="0" applyFont="1" applyBorder="1" applyAlignment="1">
      <alignment horizontal="left" vertical="top" wrapText="1"/>
    </xf>
    <xf numFmtId="0" fontId="36" fillId="0" borderId="28" xfId="0" applyFont="1" applyBorder="1" applyAlignment="1">
      <alignment horizontal="left" vertical="top" wrapText="1"/>
    </xf>
    <xf numFmtId="0" fontId="36" fillId="0" borderId="29" xfId="0" applyFont="1" applyBorder="1" applyAlignment="1">
      <alignment horizontal="left" vertical="top" wrapText="1"/>
    </xf>
    <xf numFmtId="0" fontId="1" fillId="35" borderId="19" xfId="0" applyFont="1" applyFill="1" applyBorder="1" applyAlignment="1">
      <alignment horizontal="center" vertical="center"/>
    </xf>
    <xf numFmtId="0" fontId="1" fillId="35" borderId="20" xfId="0" applyFont="1" applyFill="1" applyBorder="1" applyAlignment="1">
      <alignment horizontal="center" vertical="center"/>
    </xf>
    <xf numFmtId="0" fontId="1" fillId="35" borderId="16" xfId="0" applyFont="1" applyFill="1" applyBorder="1" applyAlignment="1">
      <alignment horizontal="center" vertical="center"/>
    </xf>
    <xf numFmtId="0" fontId="1" fillId="35" borderId="18" xfId="0" applyFont="1" applyFill="1" applyBorder="1" applyAlignment="1">
      <alignment horizontal="center" vertical="center"/>
    </xf>
    <xf numFmtId="0" fontId="1" fillId="35" borderId="21" xfId="0" applyFont="1" applyFill="1" applyBorder="1" applyAlignment="1">
      <alignment horizontal="center" vertical="center"/>
    </xf>
    <xf numFmtId="0" fontId="1" fillId="35" borderId="22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2" fontId="25" fillId="2" borderId="4" xfId="0" applyNumberFormat="1" applyFont="1" applyFill="1" applyBorder="1" applyAlignment="1">
      <alignment horizontal="left"/>
    </xf>
    <xf numFmtId="2" fontId="25" fillId="2" borderId="5" xfId="0" applyNumberFormat="1" applyFont="1" applyFill="1" applyBorder="1" applyAlignment="1">
      <alignment horizontal="left"/>
    </xf>
    <xf numFmtId="2" fontId="2" fillId="2" borderId="15" xfId="0" applyNumberFormat="1" applyFont="1" applyFill="1" applyBorder="1" applyAlignment="1">
      <alignment horizontal="center"/>
    </xf>
    <xf numFmtId="2" fontId="2" fillId="2" borderId="5" xfId="0" applyNumberFormat="1" applyFont="1" applyFill="1" applyBorder="1" applyAlignment="1">
      <alignment horizontal="center"/>
    </xf>
    <xf numFmtId="0" fontId="29" fillId="38" borderId="1" xfId="0" applyFont="1" applyFill="1" applyBorder="1" applyAlignment="1">
      <alignment horizontal="center"/>
    </xf>
    <xf numFmtId="0" fontId="29" fillId="39" borderId="1" xfId="0" applyFont="1" applyFill="1" applyBorder="1" applyAlignment="1">
      <alignment horizontal="center"/>
    </xf>
    <xf numFmtId="0" fontId="32" fillId="37" borderId="1" xfId="0" applyFont="1" applyFill="1" applyBorder="1" applyAlignment="1">
      <alignment horizontal="center"/>
    </xf>
    <xf numFmtId="0" fontId="29" fillId="37" borderId="1" xfId="0" applyFont="1" applyFill="1" applyBorder="1" applyAlignment="1">
      <alignment horizontal="center"/>
    </xf>
    <xf numFmtId="0" fontId="29" fillId="36" borderId="1" xfId="0" applyFont="1" applyFill="1" applyBorder="1" applyAlignment="1">
      <alignment horizontal="center"/>
    </xf>
    <xf numFmtId="0" fontId="29" fillId="3" borderId="1" xfId="0" applyFont="1" applyFill="1" applyBorder="1" applyAlignment="1">
      <alignment horizontal="center"/>
    </xf>
    <xf numFmtId="0" fontId="28" fillId="0" borderId="1" xfId="161" applyFont="1" applyBorder="1" applyAlignment="1">
      <alignment vertical="center"/>
    </xf>
    <xf numFmtId="0" fontId="28" fillId="0" borderId="1" xfId="161" applyFont="1" applyBorder="1"/>
    <xf numFmtId="0" fontId="8" fillId="0" borderId="1" xfId="161" applyBorder="1"/>
    <xf numFmtId="0" fontId="8" fillId="0" borderId="1" xfId="161" applyBorder="1" applyAlignment="1">
      <alignment vertical="top" wrapText="1"/>
    </xf>
  </cellXfs>
  <cellStyles count="162">
    <cellStyle name="%20 - Vurgu1" xfId="76" builtinId="30" customBuiltin="1"/>
    <cellStyle name="%20 - Vurgu1 2" xfId="22" xr:uid="{00000000-0005-0000-0000-000000000000}"/>
    <cellStyle name="%20 - Vurgu2" xfId="80" builtinId="34" customBuiltin="1"/>
    <cellStyle name="%20 - Vurgu2 2" xfId="26" xr:uid="{00000000-0005-0000-0000-000001000000}"/>
    <cellStyle name="%20 - Vurgu3" xfId="84" builtinId="38" customBuiltin="1"/>
    <cellStyle name="%20 - Vurgu3 2" xfId="30" xr:uid="{00000000-0005-0000-0000-000002000000}"/>
    <cellStyle name="%20 - Vurgu4" xfId="88" builtinId="42" customBuiltin="1"/>
    <cellStyle name="%20 - Vurgu4 2" xfId="34" xr:uid="{00000000-0005-0000-0000-000003000000}"/>
    <cellStyle name="%20 - Vurgu5" xfId="92" builtinId="46" customBuiltin="1"/>
    <cellStyle name="%20 - Vurgu5 2" xfId="38" xr:uid="{00000000-0005-0000-0000-000004000000}"/>
    <cellStyle name="%20 - Vurgu6" xfId="96" builtinId="50" customBuiltin="1"/>
    <cellStyle name="%20 - Vurgu6 2" xfId="42" xr:uid="{00000000-0005-0000-0000-000005000000}"/>
    <cellStyle name="%40 - Vurgu1" xfId="77" builtinId="31" customBuiltin="1"/>
    <cellStyle name="%40 - Vurgu1 2" xfId="23" xr:uid="{00000000-0005-0000-0000-000006000000}"/>
    <cellStyle name="%40 - Vurgu2" xfId="81" builtinId="35" customBuiltin="1"/>
    <cellStyle name="%40 - Vurgu2 2" xfId="27" xr:uid="{00000000-0005-0000-0000-000007000000}"/>
    <cellStyle name="%40 - Vurgu3" xfId="85" builtinId="39" customBuiltin="1"/>
    <cellStyle name="%40 - Vurgu3 2" xfId="31" xr:uid="{00000000-0005-0000-0000-000008000000}"/>
    <cellStyle name="%40 - Vurgu4" xfId="89" builtinId="43" customBuiltin="1"/>
    <cellStyle name="%40 - Vurgu4 2" xfId="35" xr:uid="{00000000-0005-0000-0000-000009000000}"/>
    <cellStyle name="%40 - Vurgu5" xfId="93" builtinId="47" customBuiltin="1"/>
    <cellStyle name="%40 - Vurgu5 2" xfId="39" xr:uid="{00000000-0005-0000-0000-00000A000000}"/>
    <cellStyle name="%40 - Vurgu6" xfId="97" builtinId="51" customBuiltin="1"/>
    <cellStyle name="%40 - Vurgu6 2" xfId="43" xr:uid="{00000000-0005-0000-0000-00000B000000}"/>
    <cellStyle name="%60 - Vurgu1" xfId="78" builtinId="32" customBuiltin="1"/>
    <cellStyle name="%60 - Vurgu1 2" xfId="24" xr:uid="{00000000-0005-0000-0000-00000C000000}"/>
    <cellStyle name="%60 - Vurgu2" xfId="82" builtinId="36" customBuiltin="1"/>
    <cellStyle name="%60 - Vurgu2 2" xfId="28" xr:uid="{00000000-0005-0000-0000-00000D000000}"/>
    <cellStyle name="%60 - Vurgu3" xfId="86" builtinId="40" customBuiltin="1"/>
    <cellStyle name="%60 - Vurgu3 2" xfId="32" xr:uid="{00000000-0005-0000-0000-00000E000000}"/>
    <cellStyle name="%60 - Vurgu4" xfId="90" builtinId="44" customBuiltin="1"/>
    <cellStyle name="%60 - Vurgu4 2" xfId="36" xr:uid="{00000000-0005-0000-0000-00000F000000}"/>
    <cellStyle name="%60 - Vurgu5" xfId="94" builtinId="48" customBuiltin="1"/>
    <cellStyle name="%60 - Vurgu5 2" xfId="40" xr:uid="{00000000-0005-0000-0000-000010000000}"/>
    <cellStyle name="%60 - Vurgu6" xfId="98" builtinId="52" customBuiltin="1"/>
    <cellStyle name="%60 - Vurgu6 2" xfId="44" xr:uid="{00000000-0005-0000-0000-000011000000}"/>
    <cellStyle name="Açıklama Metni" xfId="73" builtinId="53" customBuiltin="1"/>
    <cellStyle name="Açıklama Metni 2" xfId="19" xr:uid="{00000000-0005-0000-0000-000012000000}"/>
    <cellStyle name="Ana Başlık" xfId="58" builtinId="15" customBuiltin="1"/>
    <cellStyle name="Ana Başlık 2" xfId="4" xr:uid="{00000000-0005-0000-0000-000013000000}"/>
    <cellStyle name="Bağlı Hücre" xfId="69" builtinId="24" customBuiltin="1"/>
    <cellStyle name="Bağlı Hücre 2" xfId="15" xr:uid="{00000000-0005-0000-0000-000014000000}"/>
    <cellStyle name="Başlık 1" xfId="59" builtinId="16" customBuiltin="1"/>
    <cellStyle name="Başlık 1 2" xfId="5" xr:uid="{00000000-0005-0000-0000-000015000000}"/>
    <cellStyle name="Başlık 2" xfId="60" builtinId="17" customBuiltin="1"/>
    <cellStyle name="Başlık 2 2" xfId="6" xr:uid="{00000000-0005-0000-0000-000016000000}"/>
    <cellStyle name="Başlık 3" xfId="61" builtinId="18" customBuiltin="1"/>
    <cellStyle name="Başlık 3 2" xfId="7" xr:uid="{00000000-0005-0000-0000-000017000000}"/>
    <cellStyle name="Başlık 4" xfId="62" builtinId="19" customBuiltin="1"/>
    <cellStyle name="Başlık 4 2" xfId="8" xr:uid="{00000000-0005-0000-0000-000018000000}"/>
    <cellStyle name="Çıkış" xfId="67" builtinId="21" customBuiltin="1"/>
    <cellStyle name="Çıkış 2" xfId="13" xr:uid="{00000000-0005-0000-0000-000019000000}"/>
    <cellStyle name="Giriş" xfId="66" builtinId="20" customBuiltin="1"/>
    <cellStyle name="Giriş 2" xfId="12" xr:uid="{00000000-0005-0000-0000-00001A000000}"/>
    <cellStyle name="Hesaplama" xfId="68" builtinId="22" customBuiltin="1"/>
    <cellStyle name="Hesaplama 2" xfId="14" xr:uid="{00000000-0005-0000-0000-00001B000000}"/>
    <cellStyle name="İşaretli Hücre" xfId="70" builtinId="23" customBuiltin="1"/>
    <cellStyle name="İşaretli Hücre 2" xfId="16" xr:uid="{00000000-0005-0000-0000-00001C000000}"/>
    <cellStyle name="İyi" xfId="63" builtinId="26" customBuiltin="1"/>
    <cellStyle name="İyi 2" xfId="9" xr:uid="{00000000-0005-0000-0000-00001D000000}"/>
    <cellStyle name="Köprü" xfId="56" builtinId="8"/>
    <cellStyle name="Kötü" xfId="64" builtinId="27" customBuiltin="1"/>
    <cellStyle name="Kötü 2" xfId="10" xr:uid="{00000000-0005-0000-0000-00001E000000}"/>
    <cellStyle name="Normal" xfId="0" builtinId="0"/>
    <cellStyle name="Normal 10" xfId="161" xr:uid="{C83C4CB6-34D2-4AAF-9E84-D8BF0A630EA6}"/>
    <cellStyle name="Normal 19" xfId="120" xr:uid="{9465F8D0-BF8C-4560-A364-2AADC065E39C}"/>
    <cellStyle name="Normal 2" xfId="3" xr:uid="{00000000-0005-0000-0000-000020000000}"/>
    <cellStyle name="Normal 2 2" xfId="102" xr:uid="{7FC51408-1907-484A-A227-3C8DB72182BC}"/>
    <cellStyle name="Normal 2 2 2" xfId="119" xr:uid="{D73FC675-8304-4045-B69C-FC455F88A77F}"/>
    <cellStyle name="Normal 2 8" xfId="52" xr:uid="{00000000-0005-0000-0000-000021000000}"/>
    <cellStyle name="Normal 21 2" xfId="121" xr:uid="{AB56C3DB-CB57-41E0-96F9-83F86727A507}"/>
    <cellStyle name="Normal 3" xfId="45" xr:uid="{00000000-0005-0000-0000-000022000000}"/>
    <cellStyle name="Normal 3 2" xfId="126" xr:uid="{3E0B16C9-5A3D-4C45-A9BE-DD8A06EDD606}"/>
    <cellStyle name="Normal 4" xfId="46" xr:uid="{00000000-0005-0000-0000-000023000000}"/>
    <cellStyle name="Normal 4 2" xfId="128" xr:uid="{B7D87B74-6E2C-4A72-B131-BF4AA054ED22}"/>
    <cellStyle name="Normal 5" xfId="47" xr:uid="{00000000-0005-0000-0000-000024000000}"/>
    <cellStyle name="Normal 5 2" xfId="125" xr:uid="{649616AD-053F-45CF-8865-E4EDA4A06AA4}"/>
    <cellStyle name="Normal 6" xfId="48" xr:uid="{00000000-0005-0000-0000-000025000000}"/>
    <cellStyle name="Normal 60" xfId="157" xr:uid="{FF355C0C-58D6-4713-A453-FBD6CA6F8A7A}"/>
    <cellStyle name="Normal 7" xfId="49" xr:uid="{00000000-0005-0000-0000-000026000000}"/>
    <cellStyle name="Normal 8" xfId="51" xr:uid="{00000000-0005-0000-0000-000027000000}"/>
    <cellStyle name="Normal 8 2" xfId="100" xr:uid="{A3031F25-FF9D-4AE9-824C-C6DC168EC51C}"/>
    <cellStyle name="Normal 8 2 2" xfId="117" xr:uid="{FAD1EE8F-10B1-4FB6-8103-9443D7C58881}"/>
    <cellStyle name="Normal 8 2 3" xfId="118" xr:uid="{9A21915A-CBB6-4F78-B276-AEECC313FBCF}"/>
    <cellStyle name="Normal 9" xfId="2" xr:uid="{00000000-0005-0000-0000-000028000000}"/>
    <cellStyle name="Normal_ADANA TARSUS ÖNKEŞİF" xfId="57" xr:uid="{841E93BF-15DB-400C-8D83-689DAC74C830}"/>
    <cellStyle name="Normal_Sayfa1" xfId="1" xr:uid="{00000000-0005-0000-0000-000029000000}"/>
    <cellStyle name="Not" xfId="72" builtinId="10" customBuiltin="1"/>
    <cellStyle name="Not 2" xfId="18" xr:uid="{00000000-0005-0000-0000-00002A000000}"/>
    <cellStyle name="Nötr" xfId="65" builtinId="28" customBuiltin="1"/>
    <cellStyle name="Nötr 2" xfId="11" xr:uid="{00000000-0005-0000-0000-00002B000000}"/>
    <cellStyle name="ParaBirimi 2" xfId="53" xr:uid="{00000000-0005-0000-0000-00002C000000}"/>
    <cellStyle name="ParaBirimi 2 2" xfId="55" xr:uid="{CD36E3E4-5FF4-4AD1-87E2-6652608BD1D1}"/>
    <cellStyle name="ParaBirimi 2 3" xfId="105" xr:uid="{3E03C9EB-DA62-4DDE-A782-3E728E14AF4B}"/>
    <cellStyle name="ParaBirimi 2 4" xfId="114" xr:uid="{B075C6F0-8823-4DB1-AE85-4E340A7D45E3}"/>
    <cellStyle name="ParaBirimi 2 5" xfId="136" xr:uid="{E7A161C8-0432-4D5A-A397-1C015EC65218}"/>
    <cellStyle name="ParaBirimi 3" xfId="50" xr:uid="{00000000-0005-0000-0000-00002D000000}"/>
    <cellStyle name="ParaBirimi 3 2" xfId="54" xr:uid="{A6E5E294-EF9B-477D-8735-FCC1CDA8B183}"/>
    <cellStyle name="ParaBirimi 3 3" xfId="110" xr:uid="{5C3B749F-110E-463B-ADA1-4D25B24DEA22}"/>
    <cellStyle name="ParaBirimi 3 4" xfId="135" xr:uid="{9D08464E-B73A-49D7-9AFC-576E1E83954F}"/>
    <cellStyle name="ParaBirimi 4" xfId="129" xr:uid="{79280CB4-42A1-4B3A-943D-D4B2AC5E1ACD}"/>
    <cellStyle name="ParaBirimi 4 2" xfId="149" xr:uid="{7878E536-7603-4514-A7F3-20963D89B834}"/>
    <cellStyle name="ParaBirimi 5" xfId="122" xr:uid="{AA8C1E65-DDA5-4EF1-A77E-75F6419A4464}"/>
    <cellStyle name="ParaBirimi 5 2" xfId="148" xr:uid="{5523CAAA-47B4-4C50-9685-99D4EF4C1F00}"/>
    <cellStyle name="Toplam" xfId="74" builtinId="25" customBuiltin="1"/>
    <cellStyle name="Toplam 2" xfId="20" xr:uid="{00000000-0005-0000-0000-00002E000000}"/>
    <cellStyle name="Uyarı Metni" xfId="71" builtinId="11" customBuiltin="1"/>
    <cellStyle name="Uyarı Metni 2" xfId="17" xr:uid="{00000000-0005-0000-0000-00002F000000}"/>
    <cellStyle name="Virgül 2" xfId="99" xr:uid="{04037ACE-10D1-4A76-A66B-8A90BB0942DE}"/>
    <cellStyle name="Virgül 2 2" xfId="101" xr:uid="{89724AD4-E086-4A6F-802B-E8F34D3A6BF2}"/>
    <cellStyle name="Virgül 2 2 10" xfId="160" xr:uid="{7D78607D-9F55-40FA-8735-AA58A343DD1E}"/>
    <cellStyle name="Virgül 2 2 2" xfId="104" xr:uid="{144FD8C2-5F76-49C7-A09F-416FFB1DFEC5}"/>
    <cellStyle name="Virgül 2 2 2 2" xfId="107" xr:uid="{D137A8B4-A7D9-4C89-B868-20CFDAC0F7B5}"/>
    <cellStyle name="Virgül 2 2 2 2 2" xfId="115" xr:uid="{A7E472BB-F7EE-4369-AB9E-034843562FAD}"/>
    <cellStyle name="Virgül 2 2 2 2 2 2" xfId="147" xr:uid="{F6D20381-02FF-40DB-AD0A-9811188C34A4}"/>
    <cellStyle name="Virgül 2 2 2 2 3" xfId="134" xr:uid="{A18E1FF1-F729-4ED5-B217-966BCC8DF9CC}"/>
    <cellStyle name="Virgül 2 2 2 2 3 2" xfId="154" xr:uid="{AFC1688B-EF15-45DC-9D57-380B51E8A8DF}"/>
    <cellStyle name="Virgül 2 2 2 2 4" xfId="141" xr:uid="{FF98F6FF-3954-43AC-8431-D7564D90F658}"/>
    <cellStyle name="Virgül 2 2 2 3" xfId="113" xr:uid="{045FF4B2-961D-4A84-97DF-B353DB50AF72}"/>
    <cellStyle name="Virgül 2 2 2 3 2" xfId="146" xr:uid="{5FBB37A3-E058-42A9-9E83-8C855B3C4FAF}"/>
    <cellStyle name="Virgül 2 2 2 4" xfId="132" xr:uid="{B41A3203-2F0A-4941-8638-A0DE44B9AF5D}"/>
    <cellStyle name="Virgül 2 2 2 4 2" xfId="152" xr:uid="{C2FA4EAB-493C-4164-81C6-AFDA309F2CB6}"/>
    <cellStyle name="Virgül 2 2 2 5" xfId="156" xr:uid="{9D485087-690B-4989-BD7F-63ECE6B9EC68}"/>
    <cellStyle name="Virgül 2 2 2 6" xfId="139" xr:uid="{CB6AC339-5E65-4C78-9797-3882B9541A3D}"/>
    <cellStyle name="Virgül 2 2 2 7" xfId="159" xr:uid="{3A55913A-BA14-4164-B3B9-4CAC7DA8B6EB}"/>
    <cellStyle name="Virgül 2 2 3" xfId="103" xr:uid="{4830F219-9FB4-4DEC-BF87-4F6B298A75A1}"/>
    <cellStyle name="Virgül 2 2 3 2" xfId="111" xr:uid="{AD5D92E7-869A-43CE-BFB3-9495F9A4B422}"/>
    <cellStyle name="Virgül 2 2 3 2 2" xfId="144" xr:uid="{217A879B-6B76-44C6-A471-B62D84172D22}"/>
    <cellStyle name="Virgül 2 2 3 3" xfId="109" xr:uid="{1011CB8E-0825-4B94-A9D8-54AC68480118}"/>
    <cellStyle name="Virgül 2 2 3 3 2" xfId="143" xr:uid="{403CC285-CD27-435B-A2FE-B6C3FA9E2A38}"/>
    <cellStyle name="Virgül 2 2 3 4" xfId="131" xr:uid="{40455A08-9268-4140-89FB-984C9CEC7A3E}"/>
    <cellStyle name="Virgül 2 2 3 4 2" xfId="151" xr:uid="{38357F30-03C2-4C80-8F26-C48A4BEBC75F}"/>
    <cellStyle name="Virgül 2 2 3 5" xfId="138" xr:uid="{EE569B5E-A5CD-4DB0-AC18-A3D43DF2731D}"/>
    <cellStyle name="Virgül 2 2 4" xfId="106" xr:uid="{3E76BE00-A40C-49FF-8524-BA9A9A6779B6}"/>
    <cellStyle name="Virgül 2 2 4 2" xfId="112" xr:uid="{5F8E609B-6249-44F7-8151-BADDFCAAF361}"/>
    <cellStyle name="Virgül 2 2 4 2 2" xfId="145" xr:uid="{28B08F26-D38F-4901-8600-0F8AE6A055E0}"/>
    <cellStyle name="Virgül 2 2 4 3" xfId="133" xr:uid="{97CBD5B8-F6F8-4623-80B6-E389B92FC130}"/>
    <cellStyle name="Virgül 2 2 4 3 2" xfId="153" xr:uid="{B4D40E41-9A06-45AD-A8E9-CE6512487388}"/>
    <cellStyle name="Virgül 2 2 4 4" xfId="140" xr:uid="{7984350C-19AA-403B-851D-D13AF35167AA}"/>
    <cellStyle name="Virgül 2 2 5" xfId="108" xr:uid="{362F3D64-4096-4739-8E21-18A68E5B5C8B}"/>
    <cellStyle name="Virgül 2 2 5 2" xfId="142" xr:uid="{4751E3BD-170D-4F8C-A8DB-15CD9AD97D22}"/>
    <cellStyle name="Virgül 2 2 6" xfId="130" xr:uid="{FA3B3CDB-73F9-4C88-ADE2-5171B1946364}"/>
    <cellStyle name="Virgül 2 2 6 2" xfId="150" xr:uid="{E80DBEF1-6BDE-40B3-889E-8E61AF690991}"/>
    <cellStyle name="Virgül 2 2 7" xfId="155" xr:uid="{9121B45B-5BCA-490A-A538-15901C4F271A}"/>
    <cellStyle name="Virgül 2 2 8" xfId="137" xr:uid="{7B06DF7B-738F-47E6-A2F4-91AF177146A0}"/>
    <cellStyle name="Virgül 2 2 9" xfId="158" xr:uid="{4596D630-D1F9-41B8-8671-1A51DEB7071B}"/>
    <cellStyle name="Virgül 2 3" xfId="127" xr:uid="{F460075E-96B6-401E-9D2C-518D5342973B}"/>
    <cellStyle name="Virgül 2 3 2" xfId="116" xr:uid="{901300B9-C545-4790-8EA2-C89610AB986B}"/>
    <cellStyle name="Virgül 3" xfId="124" xr:uid="{5E18A900-52F8-4118-B163-E24BC4C4526D}"/>
    <cellStyle name="Virgül 4" xfId="123" xr:uid="{381B971C-5963-4CB3-B88A-16AB7D44621C}"/>
    <cellStyle name="Vurgu1" xfId="75" builtinId="29" customBuiltin="1"/>
    <cellStyle name="Vurgu1 2" xfId="21" xr:uid="{00000000-0005-0000-0000-000030000000}"/>
    <cellStyle name="Vurgu2" xfId="79" builtinId="33" customBuiltin="1"/>
    <cellStyle name="Vurgu2 2" xfId="25" xr:uid="{00000000-0005-0000-0000-000031000000}"/>
    <cellStyle name="Vurgu3" xfId="83" builtinId="37" customBuiltin="1"/>
    <cellStyle name="Vurgu3 2" xfId="29" xr:uid="{00000000-0005-0000-0000-000032000000}"/>
    <cellStyle name="Vurgu4" xfId="87" builtinId="41" customBuiltin="1"/>
    <cellStyle name="Vurgu4 2" xfId="33" xr:uid="{00000000-0005-0000-0000-000033000000}"/>
    <cellStyle name="Vurgu5" xfId="91" builtinId="45" customBuiltin="1"/>
    <cellStyle name="Vurgu5 2" xfId="37" xr:uid="{00000000-0005-0000-0000-000034000000}"/>
    <cellStyle name="Vurgu6" xfId="95" builtinId="49" customBuiltin="1"/>
    <cellStyle name="Vurgu6 2" xfId="41" xr:uid="{00000000-0005-0000-0000-00003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1</xdr:row>
      <xdr:rowOff>0</xdr:rowOff>
    </xdr:from>
    <xdr:to>
      <xdr:col>2</xdr:col>
      <xdr:colOff>3278640</xdr:colOff>
      <xdr:row>5</xdr:row>
      <xdr:rowOff>784</xdr:rowOff>
    </xdr:to>
    <xdr:pic>
      <xdr:nvPicPr>
        <xdr:cNvPr id="2" name="Resim 1" descr="Yeni Logo - Kopya">
          <a:extLst>
            <a:ext uri="{FF2B5EF4-FFF2-40B4-BE49-F238E27FC236}">
              <a16:creationId xmlns:a16="http://schemas.microsoft.com/office/drawing/2014/main" id="{31478B39-D7F8-4F43-9987-69915C0E6A7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0500"/>
          <a:ext cx="3240540" cy="75919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yusufyay@nivak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6"/>
  <sheetViews>
    <sheetView tabSelected="1" zoomScale="85" zoomScaleNormal="85" zoomScaleSheetLayoutView="85" workbookViewId="0">
      <selection activeCell="C36" sqref="C36"/>
    </sheetView>
  </sheetViews>
  <sheetFormatPr defaultRowHeight="14.4"/>
  <cols>
    <col min="1" max="1" width="5.5546875" style="11" customWidth="1"/>
    <col min="2" max="2" width="14.44140625" customWidth="1"/>
    <col min="3" max="3" width="71.6640625" customWidth="1"/>
    <col min="4" max="4" width="7.33203125" customWidth="1"/>
    <col min="5" max="5" width="7.44140625" bestFit="1" customWidth="1"/>
    <col min="6" max="6" width="19" style="14" customWidth="1"/>
    <col min="7" max="7" width="30.44140625" customWidth="1"/>
    <col min="8" max="8" width="18.33203125" customWidth="1"/>
    <col min="9" max="9" width="20" customWidth="1"/>
    <col min="10" max="10" width="14.33203125" customWidth="1"/>
  </cols>
  <sheetData>
    <row r="1" spans="1:10">
      <c r="B1" s="78"/>
      <c r="C1" s="79"/>
      <c r="D1" s="87" t="s">
        <v>3</v>
      </c>
      <c r="E1" s="88"/>
      <c r="F1" s="60"/>
      <c r="G1" s="9"/>
    </row>
    <row r="2" spans="1:10">
      <c r="B2" s="80"/>
      <c r="C2" s="81"/>
      <c r="D2" s="87" t="s">
        <v>2</v>
      </c>
      <c r="E2" s="88"/>
      <c r="F2" s="61"/>
      <c r="G2" s="6"/>
    </row>
    <row r="3" spans="1:10">
      <c r="B3" s="80"/>
      <c r="C3" s="81"/>
      <c r="D3" s="87" t="s">
        <v>4</v>
      </c>
      <c r="E3" s="88"/>
      <c r="F3" s="61"/>
      <c r="G3" s="6"/>
    </row>
    <row r="4" spans="1:10">
      <c r="B4" s="80"/>
      <c r="C4" s="81"/>
      <c r="D4" s="87" t="s">
        <v>5</v>
      </c>
      <c r="E4" s="88"/>
      <c r="F4" s="54">
        <f ca="1">NOW()</f>
        <v>46225.485693171293</v>
      </c>
      <c r="G4" s="6"/>
    </row>
    <row r="5" spans="1:10">
      <c r="B5" s="80"/>
      <c r="C5" s="81"/>
      <c r="D5" s="87" t="s">
        <v>10</v>
      </c>
      <c r="E5" s="88"/>
      <c r="F5" s="15" t="s">
        <v>11</v>
      </c>
      <c r="G5" s="6"/>
    </row>
    <row r="6" spans="1:10">
      <c r="B6" s="80"/>
      <c r="C6" s="81"/>
      <c r="D6" s="87" t="s">
        <v>43</v>
      </c>
      <c r="E6" s="88"/>
      <c r="F6" s="16" t="s">
        <v>52</v>
      </c>
      <c r="G6" s="59" t="s">
        <v>53</v>
      </c>
    </row>
    <row r="7" spans="1:10" ht="15" thickBot="1">
      <c r="B7" s="82"/>
      <c r="C7" s="83"/>
      <c r="D7" s="89"/>
      <c r="E7" s="90"/>
      <c r="F7" s="16" t="s">
        <v>54</v>
      </c>
      <c r="G7" s="10"/>
    </row>
    <row r="8" spans="1:10">
      <c r="D8" s="84"/>
      <c r="E8" s="85"/>
      <c r="F8" s="85"/>
      <c r="G8" s="86"/>
    </row>
    <row r="9" spans="1:10" ht="15" customHeight="1">
      <c r="A9" s="12" t="s">
        <v>12</v>
      </c>
      <c r="B9" s="12" t="s">
        <v>6</v>
      </c>
      <c r="C9" s="12" t="s">
        <v>7</v>
      </c>
      <c r="D9" s="12" t="s">
        <v>8</v>
      </c>
      <c r="E9" s="12" t="s">
        <v>9</v>
      </c>
      <c r="F9" s="12" t="s">
        <v>14</v>
      </c>
      <c r="G9" s="12" t="s">
        <v>15</v>
      </c>
      <c r="H9" s="12" t="s">
        <v>16</v>
      </c>
      <c r="I9" s="12" t="s">
        <v>17</v>
      </c>
      <c r="J9" s="18"/>
    </row>
    <row r="10" spans="1:10" ht="22.2" customHeight="1">
      <c r="A10" s="94" t="s">
        <v>23</v>
      </c>
      <c r="B10" s="94"/>
      <c r="C10" s="94"/>
      <c r="D10" s="94"/>
      <c r="E10" s="94"/>
      <c r="F10" s="94"/>
      <c r="G10" s="94"/>
      <c r="H10" s="94"/>
      <c r="I10" s="94"/>
    </row>
    <row r="11" spans="1:10">
      <c r="A11" s="13"/>
      <c r="B11" s="68"/>
      <c r="C11" s="68"/>
      <c r="D11" s="57"/>
      <c r="E11" s="69"/>
      <c r="F11" s="70"/>
      <c r="G11" s="70"/>
      <c r="H11" s="17"/>
      <c r="I11" s="5"/>
    </row>
    <row r="12" spans="1:10" s="71" customFormat="1">
      <c r="A12" s="72"/>
      <c r="B12" s="68"/>
      <c r="C12" s="68"/>
      <c r="D12" s="57"/>
      <c r="E12" s="69"/>
      <c r="F12" s="70"/>
      <c r="G12" s="70"/>
      <c r="H12" s="17"/>
      <c r="I12" s="74"/>
    </row>
    <row r="13" spans="1:10" s="71" customFormat="1">
      <c r="A13" s="72"/>
      <c r="B13" s="68"/>
      <c r="C13" s="68"/>
      <c r="D13" s="57"/>
      <c r="E13" s="69"/>
      <c r="F13" s="70"/>
      <c r="G13" s="70"/>
      <c r="H13" s="17"/>
      <c r="I13" s="74"/>
    </row>
    <row r="14" spans="1:10" s="71" customFormat="1">
      <c r="A14" s="72"/>
      <c r="B14" s="68"/>
      <c r="C14" s="68"/>
      <c r="D14" s="57"/>
      <c r="E14" s="69"/>
      <c r="F14" s="70"/>
      <c r="G14" s="70"/>
      <c r="H14" s="17"/>
      <c r="I14" s="74"/>
    </row>
    <row r="15" spans="1:10" s="71" customFormat="1">
      <c r="A15" s="72"/>
      <c r="B15" s="68"/>
      <c r="C15" s="68"/>
      <c r="D15" s="57"/>
      <c r="E15" s="69"/>
      <c r="F15" s="70"/>
      <c r="G15" s="70"/>
      <c r="H15" s="17"/>
      <c r="I15" s="74"/>
    </row>
    <row r="16" spans="1:10">
      <c r="A16" s="72"/>
      <c r="B16" s="68"/>
      <c r="C16" s="68"/>
      <c r="D16" s="57"/>
      <c r="E16" s="69"/>
      <c r="F16" s="70"/>
      <c r="G16" s="70"/>
      <c r="H16" s="17"/>
      <c r="I16" s="74"/>
    </row>
    <row r="17" spans="1:9">
      <c r="A17" s="32"/>
      <c r="B17" s="93" t="s">
        <v>13</v>
      </c>
      <c r="C17" s="93"/>
      <c r="D17" s="34"/>
      <c r="E17" s="35"/>
      <c r="F17" s="36"/>
      <c r="G17" s="37"/>
      <c r="H17" s="38">
        <f>SUM(G11:G16)</f>
        <v>0</v>
      </c>
      <c r="I17" s="33"/>
    </row>
    <row r="18" spans="1:9" ht="21.6" customHeight="1">
      <c r="A18" s="95" t="s">
        <v>24</v>
      </c>
      <c r="B18" s="95"/>
      <c r="C18" s="95"/>
      <c r="D18" s="95"/>
      <c r="E18" s="95"/>
      <c r="F18" s="95"/>
      <c r="G18" s="95"/>
      <c r="H18" s="95"/>
      <c r="I18" s="95"/>
    </row>
    <row r="19" spans="1:9" s="71" customFormat="1">
      <c r="A19" s="72"/>
      <c r="B19" s="97" t="s">
        <v>62</v>
      </c>
      <c r="C19" s="98" t="s">
        <v>63</v>
      </c>
      <c r="D19" s="57"/>
      <c r="E19" s="69"/>
      <c r="F19" s="70"/>
      <c r="G19" s="70"/>
      <c r="H19" s="3"/>
      <c r="I19" s="73"/>
    </row>
    <row r="20" spans="1:9" s="71" customFormat="1">
      <c r="A20" s="72"/>
      <c r="B20" s="99" t="s">
        <v>64</v>
      </c>
      <c r="C20" s="99" t="s">
        <v>65</v>
      </c>
      <c r="D20" s="57"/>
      <c r="E20" s="69"/>
      <c r="F20" s="70"/>
      <c r="G20" s="70"/>
      <c r="H20" s="3"/>
      <c r="I20" s="74"/>
    </row>
    <row r="21" spans="1:9" s="71" customFormat="1">
      <c r="A21" s="72"/>
      <c r="B21" s="99" t="s">
        <v>66</v>
      </c>
      <c r="C21" s="99" t="s">
        <v>67</v>
      </c>
      <c r="D21" s="57"/>
      <c r="E21" s="69"/>
      <c r="F21" s="70"/>
      <c r="G21" s="70"/>
      <c r="H21" s="3"/>
      <c r="I21" s="74"/>
    </row>
    <row r="22" spans="1:9" s="71" customFormat="1">
      <c r="A22" s="72"/>
      <c r="B22" s="99" t="s">
        <v>57</v>
      </c>
      <c r="C22" s="99" t="s">
        <v>68</v>
      </c>
      <c r="D22" s="57"/>
      <c r="E22" s="69"/>
      <c r="F22" s="70"/>
      <c r="G22" s="70"/>
      <c r="H22" s="3"/>
      <c r="I22" s="74"/>
    </row>
    <row r="23" spans="1:9" s="71" customFormat="1">
      <c r="A23" s="72"/>
      <c r="B23" s="99" t="s">
        <v>69</v>
      </c>
      <c r="C23" s="99" t="s">
        <v>70</v>
      </c>
      <c r="D23" s="57"/>
      <c r="E23" s="69"/>
      <c r="F23" s="70"/>
      <c r="G23" s="70"/>
      <c r="H23" s="3"/>
      <c r="I23" s="74"/>
    </row>
    <row r="24" spans="1:9" s="71" customFormat="1">
      <c r="A24" s="72"/>
      <c r="B24" s="99" t="s">
        <v>71</v>
      </c>
      <c r="C24" s="99" t="s">
        <v>72</v>
      </c>
      <c r="D24" s="57"/>
      <c r="E24" s="69"/>
      <c r="F24" s="70"/>
      <c r="G24" s="70"/>
      <c r="H24" s="3"/>
      <c r="I24" s="73"/>
    </row>
    <row r="25" spans="1:9" ht="13.8" customHeight="1">
      <c r="A25" s="13"/>
      <c r="B25" s="99" t="s">
        <v>58</v>
      </c>
      <c r="C25" s="100" t="s">
        <v>73</v>
      </c>
      <c r="D25" s="57"/>
      <c r="E25" s="69"/>
      <c r="F25" s="70"/>
      <c r="G25" s="70"/>
      <c r="H25" s="3"/>
      <c r="I25" s="5"/>
    </row>
    <row r="26" spans="1:9">
      <c r="A26" s="13"/>
      <c r="B26" s="99" t="s">
        <v>59</v>
      </c>
      <c r="C26" s="99" t="s">
        <v>60</v>
      </c>
      <c r="D26" s="57"/>
      <c r="E26" s="69"/>
      <c r="F26" s="70"/>
      <c r="G26" s="70"/>
      <c r="H26" s="3"/>
      <c r="I26" s="5"/>
    </row>
    <row r="27" spans="1:9">
      <c r="A27" s="13"/>
      <c r="B27" s="99" t="s">
        <v>74</v>
      </c>
      <c r="C27" s="99" t="s">
        <v>75</v>
      </c>
      <c r="D27" s="57"/>
      <c r="E27" s="69"/>
      <c r="F27" s="70"/>
      <c r="G27" s="70"/>
      <c r="H27" s="20"/>
      <c r="I27" s="5"/>
    </row>
    <row r="28" spans="1:9">
      <c r="A28" s="13"/>
      <c r="B28" s="68"/>
      <c r="C28" s="68"/>
      <c r="D28" s="57"/>
      <c r="E28" s="69"/>
      <c r="F28" s="70"/>
      <c r="G28" s="70"/>
      <c r="H28" s="20"/>
      <c r="I28" s="5"/>
    </row>
    <row r="29" spans="1:9">
      <c r="A29" s="22"/>
      <c r="B29" s="23"/>
      <c r="C29" s="24" t="s">
        <v>18</v>
      </c>
      <c r="D29" s="23"/>
      <c r="E29" s="23"/>
      <c r="F29" s="25"/>
      <c r="G29" s="23"/>
      <c r="H29" s="26">
        <f>SUM(G19:G28)</f>
        <v>0</v>
      </c>
      <c r="I29" s="19"/>
    </row>
    <row r="30" spans="1:9" ht="22.2" customHeight="1">
      <c r="A30" s="96" t="s">
        <v>25</v>
      </c>
      <c r="B30" s="96"/>
      <c r="C30" s="96"/>
      <c r="D30" s="96"/>
      <c r="E30" s="96"/>
      <c r="F30" s="96"/>
      <c r="G30" s="96"/>
      <c r="H30" s="96"/>
      <c r="I30" s="96"/>
    </row>
    <row r="31" spans="1:9">
      <c r="A31" s="13"/>
      <c r="B31" s="68" t="s">
        <v>49</v>
      </c>
      <c r="C31" s="68" t="s">
        <v>47</v>
      </c>
      <c r="D31" s="57" t="s">
        <v>38</v>
      </c>
      <c r="E31" s="69">
        <v>1</v>
      </c>
      <c r="F31" s="70">
        <v>10000</v>
      </c>
      <c r="G31" s="70">
        <f>F31*E31</f>
        <v>10000</v>
      </c>
      <c r="H31" s="20"/>
      <c r="I31" s="5"/>
    </row>
    <row r="32" spans="1:9">
      <c r="A32" s="13"/>
      <c r="B32" s="68" t="s">
        <v>50</v>
      </c>
      <c r="C32" s="68" t="s">
        <v>48</v>
      </c>
      <c r="D32" s="57" t="s">
        <v>38</v>
      </c>
      <c r="E32" s="69">
        <v>1</v>
      </c>
      <c r="F32" s="70">
        <v>0</v>
      </c>
      <c r="G32" s="70">
        <f>F32*E32</f>
        <v>0</v>
      </c>
      <c r="H32" s="20"/>
      <c r="I32" s="5"/>
    </row>
    <row r="33" spans="1:9">
      <c r="A33" s="27"/>
      <c r="B33" s="7"/>
      <c r="C33" s="30" t="s">
        <v>19</v>
      </c>
      <c r="D33" s="8"/>
      <c r="E33" s="28"/>
      <c r="F33" s="29"/>
      <c r="G33" s="29"/>
      <c r="H33" s="31">
        <f>SUM(G31:G32)</f>
        <v>10000</v>
      </c>
      <c r="I33" s="7"/>
    </row>
    <row r="34" spans="1:9" ht="25.95" customHeight="1">
      <c r="A34" s="91" t="s">
        <v>26</v>
      </c>
      <c r="B34" s="91"/>
      <c r="C34" s="91"/>
      <c r="D34" s="91"/>
      <c r="E34" s="91"/>
      <c r="F34" s="91"/>
      <c r="G34" s="91"/>
      <c r="H34" s="91"/>
      <c r="I34" s="91"/>
    </row>
    <row r="35" spans="1:9">
      <c r="A35" s="13"/>
      <c r="B35" s="68" t="s">
        <v>20</v>
      </c>
      <c r="C35" s="68" t="s">
        <v>39</v>
      </c>
      <c r="D35" s="57" t="s">
        <v>38</v>
      </c>
      <c r="E35" s="69">
        <v>3</v>
      </c>
      <c r="F35" s="70">
        <v>5000</v>
      </c>
      <c r="G35" s="70">
        <f>F35*E35</f>
        <v>15000</v>
      </c>
      <c r="H35" s="20"/>
      <c r="I35" s="5"/>
    </row>
    <row r="36" spans="1:9">
      <c r="A36" s="13"/>
      <c r="B36" s="68" t="s">
        <v>21</v>
      </c>
      <c r="C36" s="68" t="s">
        <v>40</v>
      </c>
      <c r="D36" s="57" t="s">
        <v>38</v>
      </c>
      <c r="E36" s="69">
        <v>3</v>
      </c>
      <c r="F36" s="70">
        <v>6500</v>
      </c>
      <c r="G36" s="70">
        <f t="shared" ref="G36:G39" si="0">F36*E36</f>
        <v>19500</v>
      </c>
      <c r="H36" s="20"/>
      <c r="I36" s="5"/>
    </row>
    <row r="37" spans="1:9">
      <c r="A37" s="13"/>
      <c r="B37" s="73" t="s">
        <v>55</v>
      </c>
      <c r="C37" s="73" t="s">
        <v>56</v>
      </c>
      <c r="D37" s="57" t="s">
        <v>38</v>
      </c>
      <c r="E37" s="69">
        <v>1</v>
      </c>
      <c r="F37" s="70">
        <v>25000</v>
      </c>
      <c r="G37" s="70">
        <f t="shared" si="0"/>
        <v>25000</v>
      </c>
      <c r="H37" s="20"/>
      <c r="I37" s="5"/>
    </row>
    <row r="38" spans="1:9">
      <c r="A38" s="13"/>
      <c r="B38" s="71" t="s">
        <v>76</v>
      </c>
      <c r="C38" s="71" t="s">
        <v>41</v>
      </c>
      <c r="D38" s="57" t="s">
        <v>38</v>
      </c>
      <c r="E38" s="69">
        <v>1</v>
      </c>
      <c r="F38" s="70">
        <v>7500</v>
      </c>
      <c r="G38" s="70">
        <f t="shared" si="0"/>
        <v>7500</v>
      </c>
      <c r="H38" s="20"/>
      <c r="I38" s="5"/>
    </row>
    <row r="39" spans="1:9">
      <c r="A39" s="13"/>
      <c r="B39" s="68" t="s">
        <v>45</v>
      </c>
      <c r="C39" s="68" t="s">
        <v>42</v>
      </c>
      <c r="D39" s="57" t="s">
        <v>38</v>
      </c>
      <c r="E39" s="69">
        <v>1</v>
      </c>
      <c r="F39" s="70">
        <v>30000</v>
      </c>
      <c r="G39" s="70">
        <f t="shared" si="0"/>
        <v>30000</v>
      </c>
      <c r="H39" s="20"/>
      <c r="I39" s="5"/>
    </row>
    <row r="40" spans="1:9">
      <c r="A40" s="39"/>
      <c r="B40" s="43"/>
      <c r="C40" s="44" t="s">
        <v>22</v>
      </c>
      <c r="D40" s="40"/>
      <c r="E40" s="40"/>
      <c r="F40" s="41"/>
      <c r="G40" s="42"/>
      <c r="H40" s="45">
        <f>SUM(G35:G39)</f>
        <v>97000</v>
      </c>
      <c r="I40" s="43"/>
    </row>
    <row r="41" spans="1:9" ht="18">
      <c r="A41" s="92" t="s">
        <v>36</v>
      </c>
      <c r="B41" s="92"/>
      <c r="C41" s="92"/>
      <c r="D41" s="92"/>
      <c r="E41" s="92"/>
      <c r="F41" s="92"/>
      <c r="G41" s="92"/>
      <c r="H41" s="92"/>
      <c r="I41" s="92"/>
    </row>
    <row r="42" spans="1:9">
      <c r="A42" s="13"/>
      <c r="B42" s="5"/>
      <c r="C42" s="5"/>
      <c r="D42" s="5"/>
      <c r="E42" s="5"/>
      <c r="F42" s="17"/>
      <c r="G42" s="17"/>
      <c r="H42" s="20"/>
      <c r="I42" s="5"/>
    </row>
    <row r="43" spans="1:9">
      <c r="A43" s="46"/>
      <c r="B43" s="52"/>
      <c r="C43" s="47" t="s">
        <v>37</v>
      </c>
      <c r="D43" s="48"/>
      <c r="E43" s="48"/>
      <c r="F43" s="49"/>
      <c r="G43" s="50"/>
      <c r="H43" s="51">
        <v>0</v>
      </c>
      <c r="I43" s="52"/>
    </row>
    <row r="44" spans="1:9">
      <c r="A44" s="13"/>
      <c r="B44" s="5"/>
      <c r="C44" s="5"/>
      <c r="D44" s="5"/>
      <c r="E44" s="5"/>
      <c r="F44" s="17"/>
      <c r="G44" s="17"/>
      <c r="H44" s="20"/>
      <c r="I44" s="5"/>
    </row>
    <row r="45" spans="1:9">
      <c r="A45" s="13"/>
      <c r="B45" s="5" t="s">
        <v>27</v>
      </c>
      <c r="C45" s="1" t="s">
        <v>32</v>
      </c>
      <c r="D45" s="2" t="s">
        <v>28</v>
      </c>
      <c r="E45" s="21">
        <v>7</v>
      </c>
      <c r="F45" s="17"/>
      <c r="G45" s="17"/>
      <c r="H45" s="20"/>
      <c r="I45" s="5"/>
    </row>
    <row r="46" spans="1:9">
      <c r="A46" s="13"/>
      <c r="B46" s="5" t="s">
        <v>29</v>
      </c>
      <c r="C46" s="1" t="s">
        <v>30</v>
      </c>
      <c r="D46" s="2" t="s">
        <v>28</v>
      </c>
      <c r="E46" s="21">
        <v>2</v>
      </c>
      <c r="F46" s="17"/>
      <c r="G46" s="17"/>
      <c r="H46" s="20"/>
      <c r="I46" s="5"/>
    </row>
    <row r="47" spans="1:9">
      <c r="A47" s="13"/>
      <c r="B47" s="5" t="s">
        <v>31</v>
      </c>
      <c r="C47" s="1" t="s">
        <v>33</v>
      </c>
      <c r="D47" s="2"/>
      <c r="E47" s="21"/>
      <c r="F47" s="17"/>
      <c r="G47" s="17"/>
      <c r="H47" s="20"/>
      <c r="I47" s="5"/>
    </row>
    <row r="48" spans="1:9">
      <c r="A48" s="13"/>
      <c r="B48" s="5" t="s">
        <v>34</v>
      </c>
      <c r="C48" s="1" t="s">
        <v>35</v>
      </c>
      <c r="D48" s="2"/>
      <c r="E48" s="21"/>
      <c r="F48" s="17"/>
      <c r="G48" s="17"/>
      <c r="H48" s="20"/>
      <c r="I48" s="5"/>
    </row>
    <row r="49" spans="1:9">
      <c r="A49" s="13"/>
      <c r="B49" s="5"/>
      <c r="C49" s="1"/>
      <c r="D49" s="2"/>
      <c r="E49" s="21"/>
      <c r="F49" s="17"/>
      <c r="G49" s="17"/>
      <c r="H49" s="20"/>
      <c r="I49" s="5"/>
    </row>
    <row r="50" spans="1:9">
      <c r="A50" s="13"/>
      <c r="B50" s="5"/>
      <c r="C50" s="56" t="s">
        <v>46</v>
      </c>
      <c r="D50" s="2"/>
      <c r="E50" s="21"/>
      <c r="F50" s="17"/>
      <c r="G50" s="17"/>
      <c r="H50" s="20"/>
      <c r="I50" s="5"/>
    </row>
    <row r="51" spans="1:9" ht="15" thickBot="1">
      <c r="A51" s="13"/>
      <c r="B51" s="5"/>
      <c r="C51" s="66"/>
      <c r="D51" s="2"/>
      <c r="E51" s="21"/>
      <c r="F51" s="17"/>
      <c r="G51" s="17"/>
      <c r="H51" s="20"/>
      <c r="I51" s="5"/>
    </row>
    <row r="52" spans="1:9">
      <c r="A52" s="13"/>
      <c r="B52" s="62"/>
      <c r="C52" s="75" t="s">
        <v>61</v>
      </c>
      <c r="D52" s="64"/>
      <c r="E52" s="21"/>
      <c r="F52" s="17"/>
      <c r="G52" s="17"/>
      <c r="H52" s="20"/>
      <c r="I52" s="5"/>
    </row>
    <row r="53" spans="1:9">
      <c r="A53" s="13"/>
      <c r="B53" s="62"/>
      <c r="C53" s="76"/>
      <c r="D53" s="65"/>
      <c r="E53" s="21"/>
      <c r="F53" s="5" t="s">
        <v>0</v>
      </c>
      <c r="G53" s="17"/>
      <c r="H53" s="53">
        <f>H17+H29+H33+H40+H43</f>
        <v>107000</v>
      </c>
      <c r="I53" s="5"/>
    </row>
    <row r="54" spans="1:9">
      <c r="A54" s="13"/>
      <c r="B54" s="62"/>
      <c r="C54" s="76"/>
      <c r="D54" s="65"/>
      <c r="E54" s="21"/>
      <c r="F54" s="5" t="s">
        <v>44</v>
      </c>
      <c r="G54" s="17"/>
      <c r="H54" s="55"/>
      <c r="I54" s="5"/>
    </row>
    <row r="55" spans="1:9" ht="15" thickBot="1">
      <c r="A55" s="13"/>
      <c r="B55" s="63"/>
      <c r="C55" s="77"/>
      <c r="D55" s="65"/>
      <c r="E55" s="4"/>
      <c r="F55" s="5" t="s">
        <v>51</v>
      </c>
      <c r="G55" s="4"/>
      <c r="H55" s="55">
        <f>H53*0.2</f>
        <v>21400</v>
      </c>
      <c r="I55" s="5"/>
    </row>
    <row r="56" spans="1:9">
      <c r="A56" s="13"/>
      <c r="B56" s="58"/>
      <c r="C56" s="67"/>
      <c r="D56" s="5"/>
      <c r="E56" s="4"/>
      <c r="F56" s="5" t="s">
        <v>1</v>
      </c>
      <c r="G56" s="4"/>
      <c r="H56" s="55">
        <f>SUM(H53:H53:H55)</f>
        <v>128400</v>
      </c>
      <c r="I56" s="5"/>
    </row>
  </sheetData>
  <mergeCells count="16">
    <mergeCell ref="C52:C55"/>
    <mergeCell ref="B1:C7"/>
    <mergeCell ref="D8:G8"/>
    <mergeCell ref="D1:E1"/>
    <mergeCell ref="D2:E2"/>
    <mergeCell ref="D3:E3"/>
    <mergeCell ref="D4:E4"/>
    <mergeCell ref="D5:E5"/>
    <mergeCell ref="D6:E6"/>
    <mergeCell ref="D7:E7"/>
    <mergeCell ref="A34:I34"/>
    <mergeCell ref="A41:I41"/>
    <mergeCell ref="B17:C17"/>
    <mergeCell ref="A10:I10"/>
    <mergeCell ref="A18:I18"/>
    <mergeCell ref="A30:I30"/>
  </mergeCells>
  <phoneticPr fontId="30" type="noConversion"/>
  <hyperlinks>
    <hyperlink ref="G6" r:id="rId1" xr:uid="{5280E8C7-44A2-4A74-99D3-EFD76898B59C}"/>
  </hyperlinks>
  <pageMargins left="0.25" right="0.25" top="0.75" bottom="0.75" header="0.3" footer="0.3"/>
  <pageSetup paperSize="9" scale="5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Kullanıcısı</dc:creator>
  <cp:lastModifiedBy>YUSUF YAY</cp:lastModifiedBy>
  <cp:lastPrinted>2024-01-16T05:06:33Z</cp:lastPrinted>
  <dcterms:created xsi:type="dcterms:W3CDTF">2019-07-05T08:37:32Z</dcterms:created>
  <dcterms:modified xsi:type="dcterms:W3CDTF">2026-07-22T08:39:30Z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c66f6488-6f7b-4340-b880-828136ff7811_Enabled">
    <vt:lpwstr>true</vt:lpwstr>
  </property>
  <property fmtid="{D5CDD505-2E9C-101B-9397-08002B2CF9AE}" pid="5" name="MSIP_Label_c66f6488-6f7b-4340-b880-828136ff7811_SetDate">
    <vt:lpwstr>2024-01-16T05:18:35Z</vt:lpwstr>
  </property>
  <property fmtid="{D5CDD505-2E9C-101B-9397-08002B2CF9AE}" pid="6" name="MSIP_Label_c66f6488-6f7b-4340-b880-828136ff7811_Method">
    <vt:lpwstr>Privileged</vt:lpwstr>
  </property>
  <property fmtid="{D5CDD505-2E9C-101B-9397-08002B2CF9AE}" pid="7" name="MSIP_Label_c66f6488-6f7b-4340-b880-828136ff7811_Name">
    <vt:lpwstr>c66f6488-6f7b-4340-b880-828136ff7811</vt:lpwstr>
  </property>
  <property fmtid="{D5CDD505-2E9C-101B-9397-08002B2CF9AE}" pid="8" name="MSIP_Label_c66f6488-6f7b-4340-b880-828136ff7811_SiteId">
    <vt:lpwstr>832c1bc9-1e43-4f93-a086-708d36b0c95d</vt:lpwstr>
  </property>
  <property fmtid="{D5CDD505-2E9C-101B-9397-08002B2CF9AE}" pid="9" name="MSIP_Label_c66f6488-6f7b-4340-b880-828136ff7811_ActionId">
    <vt:lpwstr>ce795b6c-8b39-426d-b796-50d516bb2adc</vt:lpwstr>
  </property>
  <property fmtid="{D5CDD505-2E9C-101B-9397-08002B2CF9AE}" pid="10" name="MSIP_Label_c66f6488-6f7b-4340-b880-828136ff7811_ContentBits">
    <vt:lpwstr>0</vt:lpwstr>
  </property>
</Properties>
</file>